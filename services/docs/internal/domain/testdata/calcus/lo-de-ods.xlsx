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tas 20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<sst xmlns="http://schemas.openxmlformats.org/spreadsheetml/2006/main" count="13" uniqueCount="12">
  <si>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 xml:space="preserve">Mes</t>
  </si>
  <si>
    <t xml:space="preserve">Ventas</t>
  </si>
  <si>
    <t xml:space="preserve">Coste</t>
  </si>
  <si>
    <t xml:space="preserve">Margen</t>
  </si>
  <si>
    <t xml:space="preserve">Región</t>
  </si>
  <si>
    <t xml:space="preserve">Total</t>
  </si>
  <si>
    <t xml:space="preserve">Enero</t>
  </si>
  <si>
    <t xml:space="preserve">Norte</t>
  </si>
  <si>
    <t xml:space="preserve">Febrero</t>
  </si>
  <si>
    <t xml:space="preserve">Sur</t>
  </si>
  <si>
    <t xml:space="preserve">Marzo</t>
  </si>
  <si>
    <t xml:space="preserve">Abril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</si>
</sst>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Ventas y coste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val>
        </c:ser>
        <c:gapWidth val="100"/>
        <c:overlap val="0"/>
        <c:axId val="3145190"/>
        <c:axId val="13083386"/>
      </c:barChart>
      <c:catAx>
        <c:axId val="31451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083386"/>
        <c:crosses val="autoZero"/>
        <c:auto val="1"/>
        <c:lblAlgn val="ctr"/>
        <c:lblOffset val="100"/>
        <c:noMultiLvlLbl val="0"/>
      </c:catAx>
      <c:valAx>
        <c:axId val="1308338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Euros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45190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val>
        </c:ser>
        <c:ser>
          <c:idx val="2"/>
          <c:order val="2"/>
          <c:tx>
            <c:strRef>
              <c:f>'Ventas 2026'!$D$1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2026'!$D$2:$D$5</c:f>
              <c:numCache>
                <c:formatCode>General</c:formatCode>
                <c:ptCount val="4"/>
                <c:pt idx="0">
                  <c:v>40</c:v>
                </c:pt>
                <c:pt idx="1">
                  <c:v>25.5</c:v>
                </c:pt>
                <c:pt idx="2">
                  <c:v>-12</c:v>
                </c:pt>
                <c:pt idx="3">
                  <c:v>80</c:v>
                </c:pt>
              </c:numCache>
            </c:numRef>
          </c:val>
        </c:ser>
        <c:gapWidth val="100"/>
        <c:overlap val="100"/>
        <c:axId val="41670942"/>
        <c:axId val="70012594"/>
      </c:barChart>
      <c:catAx>
        <c:axId val="4167094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012594"/>
        <c:crosses val="autoZero"/>
        <c:auto val="1"/>
        <c:lblAlgn val="ctr"/>
        <c:lblOffset val="100"/>
        <c:noMultiLvlLbl val="0"/>
      </c:catAx>
      <c:valAx>
        <c:axId val="7001259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670942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t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gapWidth val="100"/>
        <c:overlap val="0"/>
        <c:axId val="60905381"/>
        <c:axId val="32555591"/>
      </c:barChart>
      <c:lineChart>
        <c:grouping val="standard"/>
        <c:varyColors val="0"/>
        <c:ser>
          <c:idx val="1"/>
          <c:order val="1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dc2626"/>
            </a:solidFill>
            <a:ln w="25200">
              <a:solidFill>
                <a:srgbClr val="dc26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905381"/>
        <c:axId val="32555591"/>
      </c:lineChart>
      <c:lineChart>
        <c:grouping val="standard"/>
        <c:varyColors val="0"/>
        <c:ser>
          <c:idx val="2"/>
          <c:order val="2"/>
          <c:tx>
            <c:strRef>
              <c:f>'Ventas 2026'!$D$1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16a34a"/>
            </a:solidFill>
            <a:ln w="25200">
              <a:solidFill>
                <a:srgbClr val="16a3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2026'!$D$2:$D$5</c:f>
              <c:numCache>
                <c:formatCode>General</c:formatCode>
                <c:ptCount val="4"/>
                <c:pt idx="0">
                  <c:v>40</c:v>
                </c:pt>
                <c:pt idx="1">
                  <c:v>25.5</c:v>
                </c:pt>
                <c:pt idx="2">
                  <c:v>-12</c:v>
                </c:pt>
                <c:pt idx="3">
                  <c:v>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12679"/>
        <c:axId val="70845233"/>
      </c:lineChart>
      <c:catAx>
        <c:axId val="609053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555591"/>
        <c:crosses val="autoZero"/>
        <c:auto val="1"/>
        <c:lblAlgn val="ctr"/>
        <c:lblOffset val="100"/>
        <c:noMultiLvlLbl val="0"/>
      </c:catAx>
      <c:valAx>
        <c:axId val="325555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905381"/>
        <c:crosses val="autoZero"/>
        <c:crossBetween val="between"/>
      </c:valAx>
      <c:catAx>
        <c:axId val="991267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845233"/>
        <c:auto val="1"/>
        <c:lblAlgn val="ctr"/>
        <c:lblOffset val="100"/>
        <c:noMultiLvlLbl val="0"/>
      </c:catAx>
      <c:valAx>
        <c:axId val="7084523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12679"/>
        <c:crosses val="max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7c3ae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c3aed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c2626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7c3aed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firstSliceAng val="0"/>
        <c:holeSize val="50"/>
      </c:doughnutChart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'Ventas 2026'!$A$2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rgbClr val="2563eb"/>
            </a:solidFill>
            <a:ln w="2520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2026'!$B$1:$D$1</c:f>
              <c:strCache>
                <c:ptCount val="3"/>
                <c:pt idx="0">
                  <c:v>Ventas</c:v>
                </c:pt>
                <c:pt idx="1">
                  <c:v>Coste</c:v>
                </c:pt>
                <c:pt idx="2">
                  <c:v>Margen</c:v>
                </c:pt>
              </c:strCache>
            </c:strRef>
          </c:cat>
          <c:val>
            <c:numRef>
              <c:f>'Ventas 2026'!$B$2:$D$2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'Ventas 2026'!$A$3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rgbClr val="dc2626"/>
            </a:solidFill>
            <a:ln w="25200">
              <a:solidFill>
                <a:srgbClr val="dc26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2026'!$B$1:$D$1</c:f>
              <c:strCache>
                <c:ptCount val="3"/>
                <c:pt idx="0">
                  <c:v>Ventas</c:v>
                </c:pt>
                <c:pt idx="1">
                  <c:v>Coste</c:v>
                </c:pt>
                <c:pt idx="2">
                  <c:v>Margen</c:v>
                </c:pt>
              </c:strCache>
            </c:strRef>
          </c:cat>
          <c:val>
            <c:numRef>
              <c:f>'Ventas 2026'!$B$3:$D$3</c:f>
              <c:numCache>
                <c:formatCode>General</c:formatCode>
                <c:ptCount val="3"/>
                <c:pt idx="0">
                  <c:v>95.5</c:v>
                </c:pt>
                <c:pt idx="1">
                  <c:v>70</c:v>
                </c:pt>
                <c:pt idx="2">
                  <c:v>25.5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115820"/>
        <c:axId val="55376066"/>
      </c:lineChart>
      <c:catAx>
        <c:axId val="801158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376066"/>
        <c:crosses val="autoZero"/>
        <c:auto val="1"/>
        <c:lblAlgn val="ctr"/>
        <c:lblOffset val="100"/>
        <c:noMultiLvlLbl val="0"/>
      </c:catAx>
      <c:valAx>
        <c:axId val="5537606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115820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xVal>
          <c:y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yVal>
          <c:smooth val="0"/>
        </c:ser>
        <c:axId val="97066838"/>
        <c:axId val="71820186"/>
      </c:scatterChart>
      <c:valAx>
        <c:axId val="970668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1820186"/>
        <c:crosses val="autoZero"/>
        <c:crossBetween val="midCat"/>
      </c:valAx>
      <c:valAx>
        <c:axId val="7182018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066838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span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cked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val>
        </c:ser>
        <c:axId val="65499749"/>
        <c:axId val="37115807"/>
      </c:areaChart>
      <c:catAx>
        <c:axId val="654997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115807"/>
        <c:crosses val="autoZero"/>
        <c:auto val="1"/>
        <c:lblAlgn val="ctr"/>
        <c:lblOffset val="100"/>
        <c:noMultiLvlLbl val="0"/>
      </c:catAx>
      <c:valAx>
        <c:axId val="3711580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499749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zero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563eb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c2626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6a34a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7c3aed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 </c:separator>
            <c:showLeaderLines val="1"/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8</xdr:col>
      <xdr:colOff>209520</xdr:colOff>
      <xdr:row>10</xdr:row>
      <xdr:rowOff>26280</xdr:rowOff>
    </xdr:to>
    <xdr:graphicFrame>
      <xdr:nvGraphicFramePr>
        <xdr:cNvPr id="0" name="Gráfico 1"/>
        <xdr:cNvGraphicFramePr/>
      </xdr:nvGraphicFramePr>
      <xdr:xfrm>
        <a:off x="4064040" y="162720"/>
        <a:ext cx="2647800" cy="14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11</xdr:row>
      <xdr:rowOff>28080</xdr:rowOff>
    </xdr:from>
    <xdr:to>
      <xdr:col>9</xdr:col>
      <xdr:colOff>177840</xdr:colOff>
      <xdr:row>22</xdr:row>
      <xdr:rowOff>145080</xdr:rowOff>
    </xdr:to>
    <xdr:graphicFrame>
      <xdr:nvGraphicFramePr>
        <xdr:cNvPr id="1" name="Gráfico 2"/>
        <xdr:cNvGraphicFramePr/>
      </xdr:nvGraphicFramePr>
      <xdr:xfrm>
        <a:off x="4064040" y="1816200"/>
        <a:ext cx="3429000" cy="190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343080</xdr:colOff>
      <xdr:row>1</xdr:row>
      <xdr:rowOff>0</xdr:rowOff>
    </xdr:from>
    <xdr:to>
      <xdr:col>12</xdr:col>
      <xdr:colOff>552600</xdr:colOff>
      <xdr:row>10</xdr:row>
      <xdr:rowOff>26280</xdr:rowOff>
    </xdr:to>
    <xdr:graphicFrame>
      <xdr:nvGraphicFramePr>
        <xdr:cNvPr id="2" name="Gráfico 3"/>
        <xdr:cNvGraphicFramePr/>
      </xdr:nvGraphicFramePr>
      <xdr:xfrm>
        <a:off x="7658280" y="162720"/>
        <a:ext cx="2647800" cy="14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343080</xdr:colOff>
      <xdr:row>11</xdr:row>
      <xdr:rowOff>28080</xdr:rowOff>
    </xdr:from>
    <xdr:to>
      <xdr:col>12</xdr:col>
      <xdr:colOff>552600</xdr:colOff>
      <xdr:row>20</xdr:row>
      <xdr:rowOff>54360</xdr:rowOff>
    </xdr:to>
    <xdr:graphicFrame>
      <xdr:nvGraphicFramePr>
        <xdr:cNvPr id="3" name="Gráfico 4"/>
        <xdr:cNvGraphicFramePr/>
      </xdr:nvGraphicFramePr>
      <xdr:xfrm>
        <a:off x="7658280" y="1816200"/>
        <a:ext cx="2647800" cy="14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95400</xdr:colOff>
      <xdr:row>16</xdr:row>
      <xdr:rowOff>152280</xdr:rowOff>
    </xdr:from>
    <xdr:to>
      <xdr:col>3</xdr:col>
      <xdr:colOff>304920</xdr:colOff>
      <xdr:row>26</xdr:row>
      <xdr:rowOff>16200</xdr:rowOff>
    </xdr:to>
    <xdr:graphicFrame>
      <xdr:nvGraphicFramePr>
        <xdr:cNvPr id="4" name="Gráfico 5"/>
        <xdr:cNvGraphicFramePr/>
      </xdr:nvGraphicFramePr>
      <xdr:xfrm>
        <a:off x="95400" y="2753280"/>
        <a:ext cx="2647800" cy="14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114480</xdr:colOff>
      <xdr:row>16</xdr:row>
      <xdr:rowOff>152280</xdr:rowOff>
    </xdr:from>
    <xdr:to>
      <xdr:col>6</xdr:col>
      <xdr:colOff>323640</xdr:colOff>
      <xdr:row>26</xdr:row>
      <xdr:rowOff>16200</xdr:rowOff>
    </xdr:to>
    <xdr:graphicFrame>
      <xdr:nvGraphicFramePr>
        <xdr:cNvPr id="5" name="Gráfico 6"/>
        <xdr:cNvGraphicFramePr/>
      </xdr:nvGraphicFramePr>
      <xdr:xfrm>
        <a:off x="2552760" y="2753280"/>
        <a:ext cx="2647800" cy="14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228600</xdr:colOff>
      <xdr:row>16</xdr:row>
      <xdr:rowOff>152280</xdr:rowOff>
    </xdr:from>
    <xdr:to>
      <xdr:col>9</xdr:col>
      <xdr:colOff>438120</xdr:colOff>
      <xdr:row>26</xdr:row>
      <xdr:rowOff>16200</xdr:rowOff>
    </xdr:to>
    <xdr:graphicFrame>
      <xdr:nvGraphicFramePr>
        <xdr:cNvPr id="6" name="Gráfico 7"/>
        <xdr:cNvGraphicFramePr/>
      </xdr:nvGraphicFramePr>
      <xdr:xfrm>
        <a:off x="5105520" y="2753280"/>
        <a:ext cx="2647800" cy="14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343080</xdr:colOff>
      <xdr:row>16</xdr:row>
      <xdr:rowOff>152280</xdr:rowOff>
    </xdr:from>
    <xdr:to>
      <xdr:col>12</xdr:col>
      <xdr:colOff>552600</xdr:colOff>
      <xdr:row>26</xdr:row>
      <xdr:rowOff>16200</xdr:rowOff>
    </xdr:to>
    <xdr:graphicFrame>
      <xdr:nvGraphicFramePr>
        <xdr:cNvPr id="7" name="Gráfico 8"/>
        <xdr:cNvGraphicFramePr/>
      </xdr:nvGraphicFramePr>
      <xdr:xfrm>
        <a:off x="7658280" y="2753280"/>
        <a:ext cx="2647800" cy="14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giones" displayName="Regiones" ref="F1:G3" headerRowCount="1" totalsRowCount="0" totalsRowShown="0">
  <autoFilter ref="F1:G3"/>
  <tableColumns count="2">
    <tableColumn id="1" name="Región"/>
    <tableColumn id="2" name="Total"/>
  </tableColumns>
</table>
</file>

<file path=xl/tables/table2.xml><?xml version="1.0" encoding="utf-8"?>
<table xmlns="http://schemas.openxmlformats.org/spreadsheetml/2006/main" id="2" name="Ventas" displayName="Ventas" ref="A1:D6" headerRowCount="1" totalsRowCount="0" totalsRowShown="0">
  <autoFilter ref="A1:D6"/>
  <tableColumns count="4">
    <tableColumn id="1" name="Mes"/>
    <tableColumn id="2" name="Ventas"/>
    <tableColumn id="3" name="Coste"/>
    <tableColumn id="4" name="Marge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customFormat="false" ht="12.8" hidden="false" customHeight="false" outlineLevel="0" collapsed="false">
      <c r="A2" s="0" t="s">
        <v>6</v>
      </c>
      <c r="B2" s="0" t="n">
        <v>120</v>
      </c>
      <c r="C2" s="0" t="n">
        <v>80</v>
      </c>
      <c r="D2" s="0" t="n">
        <v>40</v>
      </c>
      <c r="F2" s="0" t="s">
        <v>7</v>
      </c>
      <c r="G2" s="0" t="n">
        <v>10</v>
      </c>
    </row>
    <row r="3" customFormat="false" ht="12.8" hidden="false" customHeight="false" outlineLevel="0" collapsed="false">
      <c r="A3" s="0" t="s">
        <v>8</v>
      </c>
      <c r="B3" s="0" t="n">
        <v>95.5</v>
      </c>
      <c r="C3" s="0" t="n">
        <v>70</v>
      </c>
      <c r="D3" s="0" t="n">
        <v>25.5</v>
      </c>
      <c r="F3" s="0" t="s">
        <v>9</v>
      </c>
      <c r="G3" s="0" t="n">
        <v>20</v>
      </c>
    </row>
    <row r="4" customFormat="false" ht="12.8" hidden="false" customHeight="false" outlineLevel="0" collapsed="false">
      <c r="A4" s="0" t="s">
        <v>10</v>
      </c>
      <c r="B4" s="0" t="n">
        <v>150</v>
      </c>
      <c r="C4" s="0" t="n">
        <v>90</v>
      </c>
      <c r="D4" s="0" t="n">
        <v>-12</v>
      </c>
    </row>
    <row r="5" customFormat="false" ht="12.8" hidden="false" customHeight="false" outlineLevel="0" collapsed="false">
      <c r="A5" s="0" t="s">
        <v>11</v>
      </c>
      <c r="B5" s="0" t="n">
        <v>180</v>
      </c>
      <c r="C5" s="0" t="n">
        <v>100</v>
      </c>
      <c r="D5" s="0" t="n">
        <v>80</v>
      </c>
    </row>
    <row r="6" customFormat="false" ht="12.8" hidden="false" customHeight="false" outlineLevel="0" collapsed="false">
      <c r="A6" s="0" t="s">
        <v>5</v>
      </c>
      <c r="B6" s="0" t="e">
        <f aca="false">of:=SUBTOTAL(109,B2:B5)</f>
        <v>#VALUE!</v>
      </c>
      <c r="C6" s="0" t="e">
        <f aca="false">of:=SUBTOTAL(101,C2:C5)</f>
        <v>#VALUE!</v>
      </c>
      <c r="D6" s="0" t="e">
        <f aca="false">of:=SUBTOTAL(103,D2:D5)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  <tableParts>
    <tablePart r:id="rId2"/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xr2:uid="{00000000-0000-4000-8000-000000000000}" displayEmptyCellsAs="gap">
          <x14:colorSeries rgb="FF2563EB"/>
          <x14:colorNegative rgb="FFDC2626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'Ventas 2026'!B2:D2</xm:f>
              <xm:sqref>E2</xm:sqref>
            </x14:sparkline>
          </x14:sparklines>
        </x14:sparklineGroup>
        <x14:sparklineGroup xr2:uid="{00000000-0000-4000-8000-000000000001}" type="column" displayEmptyCellsAs="gap">
          <x14:colorSeries rgb="FF16A34A"/>
          <x14:colorNegative rgb="FFDC2626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'Ventas 2026'!B3:D3</xm:f>
              <xm:sqref>E3</xm:sqref>
            </x14:sparkline>
          </x14:sparklines>
        </x14:sparklineGroup>
        <x14:sparklineGroup xr2:uid="{00000000-0000-4000-8000-000000000002}" type="stacked" displayEmptyCellsAs="gap">
          <x14:colorSeries rgb="FF2563EB"/>
          <x14:colorNegative rgb="FFDC2626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'Ventas 2026'!B4:D4</xm:f>
              <xm:sqref>E4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