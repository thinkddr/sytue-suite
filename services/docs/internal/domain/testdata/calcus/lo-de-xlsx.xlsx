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ntas 2026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<sst xmlns="http://schemas.openxmlformats.org/spreadsheetml/2006/main" count="13" uniqueCount="12">
  <si>
    <t xml:space="preserve">Mes</t>
  </si>
  <si>
    <t xml:space="preserve">Ventas</t>
  </si>
  <si>
    <t xml:space="preserve">Coste</t>
  </si>
  <si>
    <t xml:space="preserve">Margen</t>
  </si>
  <si>
    <t xml:space="preserve">Región</t>
  </si>
  <si>
    <t xml:space="preserve">Total</t>
  </si>
  <si>
    <t xml:space="preserve">Enero</t>
  </si>
  <si>
    <t xml:space="preserve">Norte</t>
  </si>
  <si>
    <t xml:space="preserve">Febrero</t>
  </si>
  <si>
    <t xml:space="preserve">Sur</t>
  </si>
  <si>
    <t xml:space="preserve">Marzo</t>
  </si>
  <si>
    <t xml:space="preserve">Abril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</si>
</sst>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Arial"/>
      <family val="2"/>
    </font>
    <font>
      <sz val="10"/>
      <name val="Arial"/>
      <family val="2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C0C0C0"/>
      <rgbColor rgb="FF808080"/>
      <rgbColor rgb="FF9999FF"/>
      <rgbColor rgb="FF993366"/>
      <rgbColor rgb="FFFFFFCC"/>
      <rgbColor rgb="FFE2E8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7C3AED"/>
      <rgbColor rgb="FF969696"/>
      <rgbColor rgb="FF003366"/>
      <rgbColor rgb="FF16A34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latin typeface="Arial"/>
              </a:defRPr>
            </a:pPr>
            <a:r>
              <a:rPr b="1" sz="1800" spc="-1" strike="noStrike">
                <a:latin typeface="Arial"/>
              </a:rPr>
              <a:t>Ventas y coste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'Ventas 2026'!$B$1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rgbClr val="2563eb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'Ventas 2026'!$A$2:$A$5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'Ventas 2026'!$B$2:$B$5</c:f>
              <c:numCache>
                <c:formatCode>General</c:formatCode>
                <c:ptCount val="4"/>
                <c:pt idx="0">
                  <c:v>120</c:v>
                </c:pt>
                <c:pt idx="1">
                  <c:v>95.5</c:v>
                </c:pt>
                <c:pt idx="2">
                  <c:v>150</c:v>
                </c:pt>
                <c:pt idx="3">
                  <c:v>180</c:v>
                </c:pt>
              </c:numCache>
            </c:numRef>
          </c:val>
        </c:ser>
        <c:ser>
          <c:idx val="1"/>
          <c:order val="1"/>
          <c:tx>
            <c:strRef>
              <c:f>'Ventas 2026'!$C$1</c:f>
              <c:strCache>
                <c:ptCount val="1"/>
                <c:pt idx="0">
                  <c:v>Coste</c:v>
                </c:pt>
              </c:strCache>
            </c:strRef>
          </c:tx>
          <c:spPr>
            <a:solidFill>
              <a:srgbClr val="dc262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'Ventas 2026'!$A$2:$A$5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'Ventas 2026'!$C$2:$C$5</c:f>
              <c:numCache>
                <c:formatCode>General</c:formatCode>
                <c:ptCount val="4"/>
                <c:pt idx="0">
                  <c:v>80</c:v>
                </c:pt>
                <c:pt idx="1">
                  <c:v>70</c:v>
                </c:pt>
                <c:pt idx="2">
                  <c:v>90</c:v>
                </c:pt>
                <c:pt idx="3">
                  <c:v>100</c:v>
                </c:pt>
              </c:numCache>
            </c:numRef>
          </c:val>
        </c:ser>
        <c:gapWidth val="39"/>
        <c:overlap val="0"/>
        <c:axId val="87926197"/>
        <c:axId val="72372147"/>
      </c:barChart>
      <c:catAx>
        <c:axId val="879261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latin typeface="Arial"/>
                  </a:defRPr>
                </a:pPr>
                <a:r>
                  <a:rPr b="1" sz="1000" spc="-1" strike="noStrike">
                    <a:latin typeface="Arial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cross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2372147"/>
        <c:crosses val="autoZero"/>
        <c:auto val="1"/>
        <c:lblAlgn val="ctr"/>
        <c:lblOffset val="100"/>
        <c:noMultiLvlLbl val="0"/>
      </c:catAx>
      <c:valAx>
        <c:axId val="72372147"/>
        <c:scaling>
          <c:orientation val="minMax"/>
        </c:scaling>
        <c:delete val="0"/>
        <c:axPos val="l"/>
        <c:majorGridlines>
          <c:spPr>
            <a:ln w="9360">
              <a:solidFill>
                <a:srgbClr val="e2e8f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latin typeface="Arial"/>
                  </a:defRPr>
                </a:pPr>
                <a:r>
                  <a:rPr b="1" sz="1000" spc="-1" strike="noStrike">
                    <a:latin typeface="Arial"/>
                  </a:rPr>
                  <a:t>Euros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cross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792619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noFill/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stacked"/>
        <c:varyColors val="0"/>
        <c:ser>
          <c:idx val="0"/>
          <c:order val="0"/>
          <c:tx>
            <c:strRef>
              <c:f>'Ventas 2026'!$B$1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rgbClr val="2563e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'Ventas 2026'!$A$2:$A$5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'Ventas 2026'!$B$2:$B$5</c:f>
              <c:numCache>
                <c:formatCode>General</c:formatCode>
                <c:ptCount val="4"/>
                <c:pt idx="0">
                  <c:v>120</c:v>
                </c:pt>
                <c:pt idx="1">
                  <c:v>95.5</c:v>
                </c:pt>
                <c:pt idx="2">
                  <c:v>150</c:v>
                </c:pt>
                <c:pt idx="3">
                  <c:v>180</c:v>
                </c:pt>
              </c:numCache>
            </c:numRef>
          </c:val>
        </c:ser>
        <c:ser>
          <c:idx val="1"/>
          <c:order val="1"/>
          <c:tx>
            <c:strRef>
              <c:f>'Ventas 2026'!$C$1</c:f>
              <c:strCache>
                <c:ptCount val="1"/>
                <c:pt idx="0">
                  <c:v>Coste</c:v>
                </c:pt>
              </c:strCache>
            </c:strRef>
          </c:tx>
          <c:spPr>
            <a:solidFill>
              <a:srgbClr val="dc262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'Ventas 2026'!$A$2:$A$5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'Ventas 2026'!$C$2:$C$5</c:f>
              <c:numCache>
                <c:formatCode>General</c:formatCode>
                <c:ptCount val="4"/>
                <c:pt idx="0">
                  <c:v>80</c:v>
                </c:pt>
                <c:pt idx="1">
                  <c:v>70</c:v>
                </c:pt>
                <c:pt idx="2">
                  <c:v>90</c:v>
                </c:pt>
                <c:pt idx="3">
                  <c:v>100</c:v>
                </c:pt>
              </c:numCache>
            </c:numRef>
          </c:val>
        </c:ser>
        <c:ser>
          <c:idx val="2"/>
          <c:order val="2"/>
          <c:tx>
            <c:strRef>
              <c:f>'Ventas 2026'!$D$1</c:f>
              <c:strCache>
                <c:ptCount val="1"/>
                <c:pt idx="0">
                  <c:v>Margen</c:v>
                </c:pt>
              </c:strCache>
            </c:strRef>
          </c:tx>
          <c:spPr>
            <a:solidFill>
              <a:srgbClr val="16a34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'Ventas 2026'!$A$2:$A$5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'Ventas 2026'!$D$2:$D$5</c:f>
              <c:numCache>
                <c:formatCode>General</c:formatCode>
                <c:ptCount val="4"/>
                <c:pt idx="0">
                  <c:v>40</c:v>
                </c:pt>
                <c:pt idx="1">
                  <c:v>25.5</c:v>
                </c:pt>
                <c:pt idx="2">
                  <c:v>-12</c:v>
                </c:pt>
                <c:pt idx="3">
                  <c:v>80</c:v>
                </c:pt>
              </c:numCache>
            </c:numRef>
          </c:val>
        </c:ser>
        <c:gapWidth val="39"/>
        <c:overlap val="100"/>
        <c:axId val="80126778"/>
        <c:axId val="16663339"/>
      </c:barChart>
      <c:catAx>
        <c:axId val="80126778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6663339"/>
        <c:crosses val="autoZero"/>
        <c:auto val="1"/>
        <c:lblAlgn val="ctr"/>
        <c:lblOffset val="100"/>
        <c:noMultiLvlLbl val="0"/>
      </c:catAx>
      <c:valAx>
        <c:axId val="16663339"/>
        <c:scaling>
          <c:orientation val="minMax"/>
        </c:scaling>
        <c:delete val="0"/>
        <c:axPos val="l"/>
        <c:majorGridlines>
          <c:spPr>
            <a:ln w="9360">
              <a:solidFill>
                <a:srgbClr val="e2e8f0"/>
              </a:solidFill>
              <a:round/>
            </a:ln>
          </c:spPr>
        </c:majorGridlines>
        <c:numFmt formatCode="General" sourceLinked="1"/>
        <c:majorTickMark val="cross"/>
        <c:minorTickMark val="cross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0126778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noFill/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'Ventas 2026'!$B$1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rgbClr val="2563e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'Ventas 2026'!$A$2:$A$5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'Ventas 2026'!$B$2:$B$5</c:f>
              <c:numCache>
                <c:formatCode>General</c:formatCode>
                <c:ptCount val="4"/>
                <c:pt idx="0">
                  <c:v>120</c:v>
                </c:pt>
                <c:pt idx="1">
                  <c:v>95.5</c:v>
                </c:pt>
                <c:pt idx="2">
                  <c:v>150</c:v>
                </c:pt>
                <c:pt idx="3">
                  <c:v>180</c:v>
                </c:pt>
              </c:numCache>
            </c:numRef>
          </c:val>
        </c:ser>
        <c:gapWidth val="39"/>
        <c:overlap val="0"/>
        <c:axId val="90350724"/>
        <c:axId val="61902672"/>
      </c:barChart>
      <c:lineChart>
        <c:grouping val="standard"/>
        <c:varyColors val="0"/>
        <c:ser>
          <c:idx val="1"/>
          <c:order val="1"/>
          <c:tx>
            <c:strRef>
              <c:f>'Ventas 2026'!$C$1</c:f>
              <c:strCache>
                <c:ptCount val="1"/>
                <c:pt idx="0">
                  <c:v>Coste</c:v>
                </c:pt>
              </c:strCache>
            </c:strRef>
          </c:tx>
          <c:spPr>
            <a:solidFill>
              <a:srgbClr val="dc2626"/>
            </a:solidFill>
            <a:ln cap="rnd" w="25560">
              <a:solidFill>
                <a:srgbClr val="dc2626"/>
              </a:solidFill>
              <a:round/>
            </a:ln>
          </c:spPr>
          <c:marker>
            <c:symbol val="circle"/>
            <c:size val="5"/>
            <c:spPr>
              <a:solidFill>
                <a:srgbClr val="dc262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'Ventas 2026'!$A$2:$A$5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'Ventas 2026'!$C$2:$C$5</c:f>
              <c:numCache>
                <c:formatCode>General</c:formatCode>
                <c:ptCount val="4"/>
                <c:pt idx="0">
                  <c:v>80</c:v>
                </c:pt>
                <c:pt idx="1">
                  <c:v>70</c:v>
                </c:pt>
                <c:pt idx="2">
                  <c:v>90</c:v>
                </c:pt>
                <c:pt idx="3">
                  <c:v>100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0350724"/>
        <c:axId val="61902672"/>
      </c:lineChart>
      <c:lineChart>
        <c:grouping val="standard"/>
        <c:varyColors val="0"/>
        <c:ser>
          <c:idx val="2"/>
          <c:order val="2"/>
          <c:tx>
            <c:strRef>
              <c:f>'Ventas 2026'!$D$1</c:f>
              <c:strCache>
                <c:ptCount val="1"/>
                <c:pt idx="0">
                  <c:v>Margen</c:v>
                </c:pt>
              </c:strCache>
            </c:strRef>
          </c:tx>
          <c:spPr>
            <a:solidFill>
              <a:srgbClr val="16a34a"/>
            </a:solidFill>
            <a:ln cap="rnd" w="25560">
              <a:solidFill>
                <a:srgbClr val="16a34a"/>
              </a:solidFill>
              <a:round/>
            </a:ln>
          </c:spPr>
          <c:marker>
            <c:symbol val="circle"/>
            <c:size val="5"/>
            <c:spPr>
              <a:solidFill>
                <a:srgbClr val="16a34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'Ventas 2026'!$A$2:$A$5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'Ventas 2026'!$D$2:$D$5</c:f>
              <c:numCache>
                <c:formatCode>General</c:formatCode>
                <c:ptCount val="4"/>
                <c:pt idx="0">
                  <c:v>40</c:v>
                </c:pt>
                <c:pt idx="1">
                  <c:v>25.5</c:v>
                </c:pt>
                <c:pt idx="2">
                  <c:v>-12</c:v>
                </c:pt>
                <c:pt idx="3">
                  <c:v>80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2510804"/>
        <c:axId val="60989571"/>
      </c:lineChart>
      <c:catAx>
        <c:axId val="90350724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1902672"/>
        <c:crosses val="autoZero"/>
        <c:auto val="1"/>
        <c:lblAlgn val="ctr"/>
        <c:lblOffset val="100"/>
        <c:noMultiLvlLbl val="0"/>
      </c:catAx>
      <c:valAx>
        <c:axId val="61902672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0350724"/>
        <c:crosses val="autoZero"/>
        <c:crossBetween val="between"/>
      </c:valAx>
      <c:catAx>
        <c:axId val="82510804"/>
        <c:scaling>
          <c:orientation val="minMax"/>
        </c:scaling>
        <c:delete val="1"/>
        <c:axPos val="t"/>
        <c:numFmt formatCode="General" sourceLinked="1"/>
        <c:majorTickMark val="cross"/>
        <c:minorTickMark val="cross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0989571"/>
        <c:auto val="1"/>
        <c:lblAlgn val="ctr"/>
        <c:lblOffset val="100"/>
        <c:noMultiLvlLbl val="0"/>
      </c:catAx>
      <c:valAx>
        <c:axId val="60989571"/>
        <c:scaling>
          <c:orientation val="minMax"/>
        </c:scaling>
        <c:delete val="0"/>
        <c:axPos val="r"/>
        <c:numFmt formatCode="General" sourceLinked="1"/>
        <c:majorTickMark val="cross"/>
        <c:minorTickMark val="cross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251080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noFill/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tx>
            <c:strRef>
              <c:f>'Ventas 2026'!$B$1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rgbClr val="7c3ae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7c3ae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dc2626"/>
              </a:solidFill>
              <a:ln w="0">
                <a:noFill/>
              </a:ln>
            </c:spPr>
          </c:dPt>
          <c:dPt>
            <c:idx val="2"/>
            <c:spPr>
              <a:solidFill>
                <a:srgbClr val="0d9488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c3ae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'Ventas 2026'!$A$2:$A$5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'Ventas 2026'!$B$2:$B$5</c:f>
              <c:numCache>
                <c:formatCode>General</c:formatCode>
                <c:ptCount val="4"/>
                <c:pt idx="0">
                  <c:v>120</c:v>
                </c:pt>
                <c:pt idx="1">
                  <c:v>95.5</c:v>
                </c:pt>
                <c:pt idx="2">
                  <c:v>150</c:v>
                </c:pt>
                <c:pt idx="3">
                  <c:v>180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noFill/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'Ventas 2026'!$A$2</c:f>
              <c:strCache>
                <c:ptCount val="1"/>
                <c:pt idx="0">
                  <c:v>Enero</c:v>
                </c:pt>
              </c:strCache>
            </c:strRef>
          </c:tx>
          <c:spPr>
            <a:solidFill>
              <a:srgbClr val="2563eb"/>
            </a:solidFill>
            <a:ln cap="rnd" w="25560">
              <a:solidFill>
                <a:srgbClr val="2563eb"/>
              </a:solidFill>
              <a:round/>
            </a:ln>
          </c:spPr>
          <c:marker>
            <c:symbol val="circle"/>
            <c:size val="5"/>
            <c:spPr>
              <a:solidFill>
                <a:srgbClr val="2563e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'Ventas 2026'!$B$1:$D$1</c:f>
              <c:strCache>
                <c:ptCount val="3"/>
                <c:pt idx="0">
                  <c:v>Ventas</c:v>
                </c:pt>
                <c:pt idx="1">
                  <c:v>Coste</c:v>
                </c:pt>
                <c:pt idx="2">
                  <c:v>Margen</c:v>
                </c:pt>
              </c:strCache>
            </c:strRef>
          </c:cat>
          <c:val>
            <c:numRef>
              <c:f>'Ventas 2026'!$B$2:$D$2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40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'Ventas 2026'!$A$3</c:f>
              <c:strCache>
                <c:ptCount val="1"/>
                <c:pt idx="0">
                  <c:v>Febrero</c:v>
                </c:pt>
              </c:strCache>
            </c:strRef>
          </c:tx>
          <c:spPr>
            <a:solidFill>
              <a:srgbClr val="dc2626"/>
            </a:solidFill>
            <a:ln cap="rnd" w="25560">
              <a:solidFill>
                <a:srgbClr val="dc2626"/>
              </a:solidFill>
              <a:round/>
            </a:ln>
          </c:spPr>
          <c:marker>
            <c:symbol val="circle"/>
            <c:size val="5"/>
            <c:spPr>
              <a:solidFill>
                <a:srgbClr val="dc262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'Ventas 2026'!$B$1:$D$1</c:f>
              <c:strCache>
                <c:ptCount val="3"/>
                <c:pt idx="0">
                  <c:v>Ventas</c:v>
                </c:pt>
                <c:pt idx="1">
                  <c:v>Coste</c:v>
                </c:pt>
                <c:pt idx="2">
                  <c:v>Margen</c:v>
                </c:pt>
              </c:strCache>
            </c:strRef>
          </c:cat>
          <c:val>
            <c:numRef>
              <c:f>'Ventas 2026'!$B$3:$D$3</c:f>
              <c:numCache>
                <c:formatCode>General</c:formatCode>
                <c:ptCount val="3"/>
                <c:pt idx="0">
                  <c:v>95.5</c:v>
                </c:pt>
                <c:pt idx="1">
                  <c:v>70</c:v>
                </c:pt>
                <c:pt idx="2">
                  <c:v>25.5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6432338"/>
        <c:axId val="48535045"/>
      </c:lineChart>
      <c:catAx>
        <c:axId val="86432338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8535045"/>
        <c:crosses val="autoZero"/>
        <c:auto val="1"/>
        <c:lblAlgn val="ctr"/>
        <c:lblOffset val="100"/>
        <c:noMultiLvlLbl val="0"/>
      </c:catAx>
      <c:valAx>
        <c:axId val="48535045"/>
        <c:scaling>
          <c:orientation val="minMax"/>
        </c:scaling>
        <c:delete val="0"/>
        <c:axPos val="l"/>
        <c:majorGridlines>
          <c:spPr>
            <a:ln w="9360">
              <a:solidFill>
                <a:srgbClr val="e2e8f0"/>
              </a:solidFill>
              <a:round/>
            </a:ln>
          </c:spPr>
        </c:majorGridlines>
        <c:numFmt formatCode="General" sourceLinked="1"/>
        <c:majorTickMark val="cross"/>
        <c:minorTickMark val="cross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64323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noFill/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'Ventas 2026'!$C$1</c:f>
              <c:strCache>
                <c:ptCount val="1"/>
                <c:pt idx="0">
                  <c:v>Coste</c:v>
                </c:pt>
              </c:strCache>
            </c:strRef>
          </c:tx>
          <c:spPr>
            <a:solidFill>
              <a:srgbClr val="2563eb"/>
            </a:solidFill>
            <a:ln w="19080">
              <a:noFill/>
            </a:ln>
          </c:spPr>
          <c:marker>
            <c:symbol val="circle"/>
            <c:size val="5"/>
            <c:spPr>
              <a:solidFill>
                <a:srgbClr val="2563e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'Ventas 2026'!$B$2:$B$5</c:f>
              <c:numCache>
                <c:formatCode>General</c:formatCode>
                <c:ptCount val="4"/>
                <c:pt idx="0">
                  <c:v>120</c:v>
                </c:pt>
                <c:pt idx="1">
                  <c:v>95.5</c:v>
                </c:pt>
                <c:pt idx="2">
                  <c:v>150</c:v>
                </c:pt>
                <c:pt idx="3">
                  <c:v>180</c:v>
                </c:pt>
              </c:numCache>
            </c:numRef>
          </c:xVal>
          <c:yVal>
            <c:numRef>
              <c:f>'Ventas 2026'!$C$2:$C$5</c:f>
              <c:numCache>
                <c:formatCode>General</c:formatCode>
                <c:ptCount val="4"/>
                <c:pt idx="0">
                  <c:v>80</c:v>
                </c:pt>
                <c:pt idx="1">
                  <c:v>70</c:v>
                </c:pt>
                <c:pt idx="2">
                  <c:v>90</c:v>
                </c:pt>
                <c:pt idx="3">
                  <c:v>100</c:v>
                </c:pt>
              </c:numCache>
            </c:numRef>
          </c:yVal>
          <c:smooth val="0"/>
        </c:ser>
        <c:axId val="82191312"/>
        <c:axId val="86214311"/>
      </c:scatterChart>
      <c:valAx>
        <c:axId val="82191312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6214311"/>
        <c:crosses val="autoZero"/>
        <c:crossBetween val="midCat"/>
      </c:valAx>
      <c:valAx>
        <c:axId val="86214311"/>
        <c:scaling>
          <c:orientation val="minMax"/>
        </c:scaling>
        <c:delete val="0"/>
        <c:axPos val="l"/>
        <c:majorGridlines>
          <c:spPr>
            <a:ln w="9360">
              <a:solidFill>
                <a:srgbClr val="e2e8f0"/>
              </a:solidFill>
              <a:round/>
            </a:ln>
          </c:spPr>
        </c:majorGridlines>
        <c:numFmt formatCode="General" sourceLinked="1"/>
        <c:majorTickMark val="cross"/>
        <c:minorTickMark val="cross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219131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noFill/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areaChart>
        <c:grouping val="stacked"/>
        <c:ser>
          <c:idx val="0"/>
          <c:order val="0"/>
          <c:tx>
            <c:strRef>
              <c:f>'Ventas 2026'!$B$1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rgbClr val="2563eb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'Ventas 2026'!$A$2:$A$5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'Ventas 2026'!$B$2:$B$5</c:f>
              <c:numCache>
                <c:formatCode>General</c:formatCode>
                <c:ptCount val="4"/>
                <c:pt idx="0">
                  <c:v>120</c:v>
                </c:pt>
                <c:pt idx="1">
                  <c:v>95.5</c:v>
                </c:pt>
                <c:pt idx="2">
                  <c:v>150</c:v>
                </c:pt>
                <c:pt idx="3">
                  <c:v>180</c:v>
                </c:pt>
              </c:numCache>
            </c:numRef>
          </c:val>
        </c:ser>
        <c:ser>
          <c:idx val="1"/>
          <c:order val="1"/>
          <c:tx>
            <c:strRef>
              <c:f>'Ventas 2026'!$C$1</c:f>
              <c:strCache>
                <c:ptCount val="1"/>
                <c:pt idx="0">
                  <c:v>Coste</c:v>
                </c:pt>
              </c:strCache>
            </c:strRef>
          </c:tx>
          <c:spPr>
            <a:solidFill>
              <a:srgbClr val="dc2626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'Ventas 2026'!$A$2:$A$5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'Ventas 2026'!$C$2:$C$5</c:f>
              <c:numCache>
                <c:formatCode>General</c:formatCode>
                <c:ptCount val="4"/>
                <c:pt idx="0">
                  <c:v>80</c:v>
                </c:pt>
                <c:pt idx="1">
                  <c:v>70</c:v>
                </c:pt>
                <c:pt idx="2">
                  <c:v>90</c:v>
                </c:pt>
                <c:pt idx="3">
                  <c:v>100</c:v>
                </c:pt>
              </c:numCache>
            </c:numRef>
          </c:val>
        </c:ser>
        <c:axId val="88745484"/>
        <c:axId val="91476339"/>
      </c:areaChart>
      <c:catAx>
        <c:axId val="88745484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1476339"/>
        <c:crosses val="autoZero"/>
        <c:auto val="1"/>
        <c:lblAlgn val="ctr"/>
        <c:lblOffset val="100"/>
        <c:noMultiLvlLbl val="0"/>
      </c:catAx>
      <c:valAx>
        <c:axId val="91476339"/>
        <c:scaling>
          <c:orientation val="minMax"/>
        </c:scaling>
        <c:delete val="0"/>
        <c:axPos val="l"/>
        <c:majorGridlines>
          <c:spPr>
            <a:ln w="9360">
              <a:solidFill>
                <a:srgbClr val="e2e8f0"/>
              </a:solidFill>
              <a:round/>
            </a:ln>
          </c:spPr>
        </c:majorGridlines>
        <c:numFmt formatCode="General" sourceLinked="1"/>
        <c:majorTickMark val="cross"/>
        <c:minorTickMark val="cross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874548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noFill/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'Ventas 2026'!$B$1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rgbClr val="2563eb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563eb"/>
              </a:solidFill>
              <a:ln w="0">
                <a:noFill/>
              </a:ln>
            </c:spPr>
          </c:dPt>
          <c:dPt>
            <c:idx val="1"/>
            <c:spPr>
              <a:solidFill>
                <a:srgbClr val="dc2626"/>
              </a:solidFill>
              <a:ln w="0">
                <a:noFill/>
              </a:ln>
            </c:spPr>
          </c:dPt>
          <c:dPt>
            <c:idx val="2"/>
            <c:spPr>
              <a:solidFill>
                <a:srgbClr val="16a34a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c3ae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'Ventas 2026'!$A$2:$A$5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'Ventas 2026'!$B$2:$B$5</c:f>
              <c:numCache>
                <c:formatCode>General</c:formatCode>
                <c:ptCount val="4"/>
                <c:pt idx="0">
                  <c:v>120</c:v>
                </c:pt>
                <c:pt idx="1">
                  <c:v>95.5</c:v>
                </c:pt>
                <c:pt idx="2">
                  <c:v>150</c:v>
                </c:pt>
                <c:pt idx="3">
                  <c:v>180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noFill/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8</xdr:col>
      <xdr:colOff>380520</xdr:colOff>
      <xdr:row>10</xdr:row>
      <xdr:rowOff>25920</xdr:rowOff>
    </xdr:to>
    <xdr:graphicFrame>
      <xdr:nvGraphicFramePr>
        <xdr:cNvPr id="0" name="Gráfico 1"/>
        <xdr:cNvGraphicFramePr/>
      </xdr:nvGraphicFramePr>
      <xdr:xfrm>
        <a:off x="3778200" y="162720"/>
        <a:ext cx="2647440" cy="148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11</xdr:row>
      <xdr:rowOff>28080</xdr:rowOff>
    </xdr:from>
    <xdr:to>
      <xdr:col>9</xdr:col>
      <xdr:colOff>406080</xdr:colOff>
      <xdr:row>22</xdr:row>
      <xdr:rowOff>144720</xdr:rowOff>
    </xdr:to>
    <xdr:graphicFrame>
      <xdr:nvGraphicFramePr>
        <xdr:cNvPr id="1" name="Gráfico 2"/>
        <xdr:cNvGraphicFramePr/>
      </xdr:nvGraphicFramePr>
      <xdr:xfrm>
        <a:off x="3778200" y="1816200"/>
        <a:ext cx="3428640" cy="1904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343080</xdr:colOff>
      <xdr:row>1</xdr:row>
      <xdr:rowOff>0</xdr:rowOff>
    </xdr:from>
    <xdr:to>
      <xdr:col>12</xdr:col>
      <xdr:colOff>723600</xdr:colOff>
      <xdr:row>10</xdr:row>
      <xdr:rowOff>25920</xdr:rowOff>
    </xdr:to>
    <xdr:graphicFrame>
      <xdr:nvGraphicFramePr>
        <xdr:cNvPr id="2" name="Gráfico 3"/>
        <xdr:cNvGraphicFramePr/>
      </xdr:nvGraphicFramePr>
      <xdr:xfrm>
        <a:off x="7143840" y="162720"/>
        <a:ext cx="2647440" cy="148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343080</xdr:colOff>
      <xdr:row>11</xdr:row>
      <xdr:rowOff>28080</xdr:rowOff>
    </xdr:from>
    <xdr:to>
      <xdr:col>12</xdr:col>
      <xdr:colOff>723600</xdr:colOff>
      <xdr:row>20</xdr:row>
      <xdr:rowOff>54000</xdr:rowOff>
    </xdr:to>
    <xdr:graphicFrame>
      <xdr:nvGraphicFramePr>
        <xdr:cNvPr id="3" name="Gráfico 4"/>
        <xdr:cNvGraphicFramePr/>
      </xdr:nvGraphicFramePr>
      <xdr:xfrm>
        <a:off x="7143840" y="1816200"/>
        <a:ext cx="2647440" cy="148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95400</xdr:colOff>
      <xdr:row>16</xdr:row>
      <xdr:rowOff>152280</xdr:rowOff>
    </xdr:from>
    <xdr:to>
      <xdr:col>3</xdr:col>
      <xdr:colOff>475920</xdr:colOff>
      <xdr:row>26</xdr:row>
      <xdr:rowOff>15840</xdr:rowOff>
    </xdr:to>
    <xdr:graphicFrame>
      <xdr:nvGraphicFramePr>
        <xdr:cNvPr id="4" name="Gráfico 5"/>
        <xdr:cNvGraphicFramePr/>
      </xdr:nvGraphicFramePr>
      <xdr:xfrm>
        <a:off x="95400" y="2753280"/>
        <a:ext cx="2647440" cy="148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</xdr:col>
      <xdr:colOff>114480</xdr:colOff>
      <xdr:row>16</xdr:row>
      <xdr:rowOff>152280</xdr:rowOff>
    </xdr:from>
    <xdr:to>
      <xdr:col>6</xdr:col>
      <xdr:colOff>495000</xdr:colOff>
      <xdr:row>26</xdr:row>
      <xdr:rowOff>15840</xdr:rowOff>
    </xdr:to>
    <xdr:graphicFrame>
      <xdr:nvGraphicFramePr>
        <xdr:cNvPr id="5" name="Gráfico 6"/>
        <xdr:cNvGraphicFramePr/>
      </xdr:nvGraphicFramePr>
      <xdr:xfrm>
        <a:off x="2381400" y="2753280"/>
        <a:ext cx="2647440" cy="148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6</xdr:col>
      <xdr:colOff>228600</xdr:colOff>
      <xdr:row>16</xdr:row>
      <xdr:rowOff>152280</xdr:rowOff>
    </xdr:from>
    <xdr:to>
      <xdr:col>9</xdr:col>
      <xdr:colOff>609120</xdr:colOff>
      <xdr:row>26</xdr:row>
      <xdr:rowOff>15840</xdr:rowOff>
    </xdr:to>
    <xdr:graphicFrame>
      <xdr:nvGraphicFramePr>
        <xdr:cNvPr id="6" name="Gráfico 7"/>
        <xdr:cNvGraphicFramePr/>
      </xdr:nvGraphicFramePr>
      <xdr:xfrm>
        <a:off x="4762440" y="2753280"/>
        <a:ext cx="2647440" cy="148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343080</xdr:colOff>
      <xdr:row>16</xdr:row>
      <xdr:rowOff>152280</xdr:rowOff>
    </xdr:from>
    <xdr:to>
      <xdr:col>12</xdr:col>
      <xdr:colOff>723600</xdr:colOff>
      <xdr:row>26</xdr:row>
      <xdr:rowOff>15840</xdr:rowOff>
    </xdr:to>
    <xdr:graphicFrame>
      <xdr:nvGraphicFramePr>
        <xdr:cNvPr id="7" name="Gráfico 8"/>
        <xdr:cNvGraphicFramePr/>
      </xdr:nvGraphicFramePr>
      <xdr:xfrm>
        <a:off x="7143840" y="2753280"/>
        <a:ext cx="2647440" cy="148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egiones" displayName="Regiones" ref="F1:G3" headerRowCount="1" totalsRowCount="0" totalsRowShown="0">
  <autoFilter ref="F1:G3"/>
  <tableColumns count="2">
    <tableColumn id="1" name="Región"/>
    <tableColumn id="2" name="Total"/>
  </tableColumns>
</table>
</file>

<file path=xl/tables/table2.xml><?xml version="1.0" encoding="utf-8"?>
<table xmlns="http://schemas.openxmlformats.org/spreadsheetml/2006/main" id="2" name="Ventas" displayName="Ventas" ref="A1:D6" headerRowCount="1" totalsRowCount="1" totalsRowShown="1">
  <autoFilter ref="A1:D6"/>
  <tableColumns count="4">
    <tableColumn id="1" name="Mes"/>
    <tableColumn id="2" name="Ventas"/>
    <tableColumn id="3" name="Coste"/>
    <tableColumn id="4" name="Margen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</row>
    <row r="2" customFormat="false" ht="12.8" hidden="false" customHeight="false" outlineLevel="0" collapsed="false">
      <c r="A2" s="0" t="s">
        <v>6</v>
      </c>
      <c r="B2" s="0" t="n">
        <v>120</v>
      </c>
      <c r="C2" s="0" t="n">
        <v>80</v>
      </c>
      <c r="D2" s="0" t="n">
        <v>40</v>
      </c>
      <c r="F2" s="0" t="s">
        <v>7</v>
      </c>
      <c r="G2" s="0" t="n">
        <v>10</v>
      </c>
    </row>
    <row r="3" customFormat="false" ht="12.8" hidden="false" customHeight="false" outlineLevel="0" collapsed="false">
      <c r="A3" s="0" t="s">
        <v>8</v>
      </c>
      <c r="B3" s="0" t="n">
        <v>95.5</v>
      </c>
      <c r="C3" s="0" t="n">
        <v>70</v>
      </c>
      <c r="D3" s="0" t="n">
        <v>25.5</v>
      </c>
      <c r="F3" s="0" t="s">
        <v>9</v>
      </c>
      <c r="G3" s="0" t="n">
        <v>20</v>
      </c>
    </row>
    <row r="4" customFormat="false" ht="12.8" hidden="false" customHeight="false" outlineLevel="0" collapsed="false">
      <c r="A4" s="0" t="s">
        <v>10</v>
      </c>
      <c r="B4" s="0" t="n">
        <v>150</v>
      </c>
      <c r="C4" s="0" t="n">
        <v>90</v>
      </c>
      <c r="D4" s="0" t="n">
        <v>-12</v>
      </c>
    </row>
    <row r="5" customFormat="false" ht="12.8" hidden="false" customHeight="false" outlineLevel="0" collapsed="false">
      <c r="A5" s="0" t="s">
        <v>11</v>
      </c>
      <c r="B5" s="0" t="n">
        <v>180</v>
      </c>
      <c r="C5" s="0" t="n">
        <v>100</v>
      </c>
      <c r="D5" s="0" t="n">
        <v>80</v>
      </c>
    </row>
    <row r="6" customFormat="false" ht="12.8" hidden="false" customHeight="false" outlineLevel="0" collapsed="false">
      <c r="A6" s="0" t="s">
        <v>5</v>
      </c>
      <c r="B6" s="0" t="n">
        <f aca="false">SUBTOTAL(109,Ventas[Ventas])</f>
        <v>545.5</v>
      </c>
      <c r="C6" s="0" t="n">
        <f aca="false">SUBTOTAL(101,Ventas[Coste])</f>
        <v>85</v>
      </c>
      <c r="D6" s="0" t="n">
        <f aca="false">SUBTOTAL(103,Ventas[Margen])</f>
        <v>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  <extLst>
    <ext xmlns:x14="http://schemas.microsoft.com/office/spreadsheetml/2009/9/main" uri="{05C60535-1F16-4fd2-B633-F4F36F0B64E0}">
      <x14:sparklineGroups xmlns:xm="http://schemas.microsoft.com/office/excel/2006/main">
        <x14:sparklineGroup xr2:uid="{00000000-0000-0000-0000-000000000000}" displayEmptyCellsAs="gap">
          <x14:colorSeries rgb="FF2563EB"/>
          <x14:colorNegative rgb="FFDC2626"/>
          <x14:colorAxis rgb="FFFF0000"/>
          <x14:colorMarkers rgb="FFFF0000"/>
          <x14:colorFirst rgb="FFFF0000"/>
          <x14:colorLast rgb="FFFF0000"/>
          <x14:colorHigh rgb="FFFF0000"/>
          <x14:colorLow rgb="FFFF0000"/>
          <x14:sparklines>
            <x14:sparkline>
              <xm:f>'Ventas 2026'!B2:D2</xm:f>
              <xm:sqref>E2</xm:sqref>
            </x14:sparkline>
          </x14:sparklines>
        </x14:sparklineGroup>
        <x14:sparklineGroup xr2:uid="{00000000-0000-0000-0000-000000000000}" type="column" displayEmptyCellsAs="gap">
          <x14:colorSeries rgb="FF16A34A"/>
          <x14:colorNegative rgb="FFDC2626"/>
          <x14:colorAxis rgb="FFFF0000"/>
          <x14:colorMarkers rgb="FFFF0000"/>
          <x14:colorFirst rgb="FFFF0000"/>
          <x14:colorLast rgb="FFFF0000"/>
          <x14:colorHigh rgb="FFFF0000"/>
          <x14:colorLow rgb="FFFF0000"/>
          <x14:sparklines>
            <x14:sparkline>
              <xm:f>'Ventas 2026'!B3:D3</xm:f>
              <xm:sqref>E3</xm:sqref>
            </x14:sparkline>
          </x14:sparklines>
        </x14:sparklineGroup>
        <x14:sparklineGroup xr2:uid="{00000000-0000-0000-0000-000000000000}" type="stacked" displayEmptyCellsAs="gap">
          <x14:colorSeries rgb="FF2563EB"/>
          <x14:colorNegative rgb="FFDC2626"/>
          <x14:colorAxis rgb="FFFF0000"/>
          <x14:colorMarkers rgb="FFFF0000"/>
          <x14:colorFirst rgb="FFFF0000"/>
          <x14:colorLast rgb="FFFF0000"/>
          <x14:colorHigh rgb="FFFF0000"/>
          <x14:colorLow rgb="FFFF0000"/>
          <x14:sparklines>
            <x14:sparkline>
              <xm:f>'Ventas 2026'!B4:D4</xm:f>
              <xm:sqref>E4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