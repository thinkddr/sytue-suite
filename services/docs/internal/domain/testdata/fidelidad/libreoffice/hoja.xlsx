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Ventas" sheetId="1" state="visible" r:id="rId2"/>
    <sheet name="Resumen" sheetId="2" state="visible" r:id="rId3"/>
    <sheet name="Análisis" sheetId="3" state="visible" r:id="rId4"/>
  </sheets>
  <definedNames>
    <definedName function="false" hidden="true" localSheetId="2" name="_xlnm._FilterDatabase" vbProcedure="false">Análisis!$A$1:$D$5</definedName>
    <definedName function="false" hidden="false" name="Objetivo" vbProcedure="false">Resumen!$B$3</definedName>
  </definedName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<sst xmlns="http://schemas.openxmlformats.org/spreadsheetml/2006/main" count="24" uniqueCount="22">
  <si>
    <t xml:space="preserve">Zona</t>
  </si>
  <si>
    <t xml:space="preserve">Kilos</t>
  </si>
  <si>
    <t xml:space="preserve">Doble</t>
  </si>
  <si>
    <t xml:space="preserve">Ecológico</t>
  </si>
  <si>
    <t xml:space="preserve">Fecha</t>
  </si>
  <si>
    <t xml:space="preserve">Importe</t>
  </si>
  <si>
    <t xml:space="preserve">Margen</t>
  </si>
  <si>
    <t xml:space="preserve">Densidad</t>
  </si>
  <si>
    <t xml:space="preserve">Norte</t>
  </si>
  <si>
    <t xml:space="preserve">Sur</t>
  </si>
  <si>
    <t xml:space="preserve">Este</t>
  </si>
  <si>
    <t xml:space="preserve">Total del trimestre</t>
  </si>
  <si>
    <t xml:space="preserve">Total kilos</t>
  </si>
  <si>
    <t xml:space="preserve">Media</t>
  </si>
  <si>
    <t xml:space="preserve">Objetivo</t>
  </si>
  <si>
    <t xml:space="preserve">Cumplimiento</t>
  </si>
  <si>
    <t xml:space="preserve">Concepto</t>
  </si>
  <si>
    <t xml:space="preserve">Q1</t>
  </si>
  <si>
    <t xml:space="preserve">Q2</t>
  </si>
  <si>
    <t xml:space="preserve">Total</t>
  </si>
  <si>
    <t xml:space="preserve">Ventas</t>
  </si>
  <si>
    <t xml:space="preserve">Subtotal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</si>
</sst>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&quot;TRUE&quot;;&quot;TRUE&quot;;&quot;FALSE&quot;"/>
    <numFmt numFmtId="166" formatCode="dd/mm/yyyy"/>
    <numFmt numFmtId="167" formatCode="#,##0.00\ [$€-C0A];[RED]\-#,##0.00\ [$€-C0A]"/>
    <numFmt numFmtId="168" formatCode="0%"/>
    <numFmt numFmtId="169" formatCode="0.000"/>
  </numFmts>
  <fonts count="5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1F3864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DE9D9"/>
        <bgColor rgb="FFDDEBF7"/>
      </patternFill>
    </fill>
    <fill>
      <patternFill patternType="solid">
        <fgColor rgb="FFDDEBF7"/>
        <bgColor rgb="FFCCFFFF"/>
      </patternFill>
    </fill>
  </fills>
  <borders count="1">
    <border diagonalUp="false" diagonalDown="false">
      <left/>
      <right/>
      <top/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0" fillId="2" borderId="0" applyFont="fals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Destacado" xfId="20"/>
  </cellStyles>
  <dxfs count="5">
    <dxf>
      <fill>
        <patternFill patternType="solid">
          <fgColor rgb="FFDDEBF7"/>
        </patternFill>
      </fill>
    </dxf>
    <dxf>
      <fill>
        <patternFill patternType="solid">
          <fgColor rgb="00FFFFFF"/>
        </patternFill>
      </fill>
    </dxf>
    <dxf>
      <fill>
        <patternFill patternType="solid">
          <fgColor rgb="FF1F3864"/>
        </patternFill>
      </fill>
    </dxf>
    <dxf>
      <fill>
        <patternFill patternType="solid">
          <fgColor rgb="FFFDE9D9"/>
        </patternFill>
      </fill>
    </dxf>
    <dxf>
      <fill>
        <patternFill>
          <bgColor rgb="FFFDE9D9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DE9D9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ables/table1.xml><?xml version="1.0" encoding="utf-8"?>
<table xmlns="http://schemas.openxmlformats.org/spreadsheetml/2006/main" id="1" name="TablaVentas" displayName="TablaVentas" ref="A1:H4" headerRowCount="1" totalsRowCount="0" totalsRowShown="0">
  <autoFilter ref="A1:H4"/>
  <tableColumns count="8">
    <tableColumn id="1" name="Zona"/>
    <tableColumn id="2" name="Kilos"/>
    <tableColumn id="3" name="Doble"/>
    <tableColumn id="4" name="Ecológico"/>
    <tableColumn id="5" name="Fecha"/>
    <tableColumn id="6" name="Importe"/>
    <tableColumn id="7" name="Margen"/>
    <tableColumn id="8" name="Densidad"/>
  </tableColumns>
</tabl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20.43"/>
    <col collapsed="false" customWidth="true" hidden="false" outlineLevel="0" max="2" min="2" style="0" width="12.76"/>
    <col collapsed="false" customWidth="true" hidden="false" outlineLevel="0" max="8" min="3" style="0" width="11.24"/>
  </cols>
  <sheetData>
    <row r="1" customFormat="false" ht="22.7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customFormat="false" ht="12.8" hidden="false" customHeight="false" outlineLevel="0" collapsed="false">
      <c r="A2" s="2" t="s">
        <v>8</v>
      </c>
      <c r="B2" s="0" t="n">
        <v>1200</v>
      </c>
      <c r="C2" s="0" t="n">
        <f aca="false">B2*2</f>
        <v>2400</v>
      </c>
      <c r="D2" s="3" t="b">
        <v>1</v>
      </c>
      <c r="E2" s="4" t="n">
        <v>46096</v>
      </c>
      <c r="F2" s="5" t="n">
        <v>1234.5</v>
      </c>
      <c r="G2" s="6" t="n">
        <v>0.25</v>
      </c>
      <c r="H2" s="7" t="n">
        <v>3.14159</v>
      </c>
    </row>
    <row r="3" customFormat="false" ht="12.8" hidden="false" customHeight="false" outlineLevel="0" collapsed="false">
      <c r="A3" s="2" t="s">
        <v>9</v>
      </c>
      <c r="B3" s="0" t="n">
        <v>800</v>
      </c>
      <c r="C3" s="0" t="n">
        <f aca="false">B3*2</f>
        <v>1600</v>
      </c>
      <c r="D3" s="3" t="b">
        <v>0</v>
      </c>
      <c r="E3" s="4" t="n">
        <v>46101</v>
      </c>
      <c r="F3" s="5" t="n">
        <v>980</v>
      </c>
      <c r="G3" s="6" t="n">
        <v>0.18</v>
      </c>
      <c r="H3" s="7" t="n">
        <v>2.5</v>
      </c>
    </row>
    <row r="4" customFormat="false" ht="12.8" hidden="false" customHeight="false" outlineLevel="0" collapsed="false">
      <c r="A4" s="2" t="s">
        <v>10</v>
      </c>
      <c r="B4" s="0" t="n">
        <v>1500</v>
      </c>
      <c r="C4" s="0" t="n">
        <f aca="false">B4*2</f>
        <v>3000</v>
      </c>
      <c r="D4" s="3" t="b">
        <v>1</v>
      </c>
      <c r="E4" s="4" t="n">
        <v>46109</v>
      </c>
      <c r="F4" s="5" t="n">
        <v>1520.75</v>
      </c>
      <c r="G4" s="6" t="n">
        <v>0.31</v>
      </c>
      <c r="H4" s="7" t="n">
        <v>1.25</v>
      </c>
    </row>
    <row r="6" customFormat="false" ht="12.8" hidden="false" customHeight="false" outlineLevel="0" collapsed="false">
      <c r="A6" s="2" t="s">
        <v>11</v>
      </c>
      <c r="B6" s="2"/>
      <c r="C6" s="2"/>
    </row>
  </sheetData>
  <mergeCells count="1">
    <mergeCell ref="A6:C6"/>
  </mergeCells>
  <conditionalFormatting sqref="B2:B4">
    <cfRule type="cellIs" priority="2" operator="greaterThan" aboveAverage="0" equalAverage="0" bottom="0" percent="0" rank="0" text="" dxfId="4">
      <formula>1000</formula>
    </cfRule>
  </conditionalFormatting>
  <dataValidations count="2">
    <dataValidation allowBlank="true" error="Zona no válida" errorStyle="stop" operator="equal" showDropDown="false" showErrorMessage="true" showInputMessage="false" sqref="A2:A4" type="list">
      <formula1>"Norte,Sur,Este"</formula1>
      <formula2>0</formula2>
    </dataValidation>
    <dataValidation allowBlank="true" errorStyle="stop" operator="greaterThan" showDropDown="false" showErrorMessage="true" showInputMessage="false" sqref="B2:B4" type="whole">
      <formula1>0</formula1>
      <formula2>0</formula2>
    </dataValidation>
  </dataValidation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  <tableParts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20.43"/>
    <col collapsed="false" customWidth="true" hidden="false" outlineLevel="0" max="2" min="2" style="0" width="12.76"/>
  </cols>
  <sheetData>
    <row r="1" customFormat="false" ht="12.8" hidden="false" customHeight="false" outlineLevel="0" collapsed="false">
      <c r="A1" s="0" t="s">
        <v>12</v>
      </c>
      <c r="B1" s="0" t="n">
        <f aca="false">SUM(Ventas!B2:B4)</f>
        <v>3500</v>
      </c>
    </row>
    <row r="2" customFormat="false" ht="12.8" hidden="false" customHeight="false" outlineLevel="0" collapsed="false">
      <c r="A2" s="0" t="s">
        <v>13</v>
      </c>
      <c r="B2" s="0" t="n">
        <f aca="false">AVERAGE(Ventas!B2:B4)</f>
        <v>1166.66666666667</v>
      </c>
    </row>
    <row r="3" customFormat="false" ht="12.8" hidden="false" customHeight="false" outlineLevel="0" collapsed="false">
      <c r="A3" s="0" t="s">
        <v>14</v>
      </c>
      <c r="B3" s="0" t="n">
        <v>4000</v>
      </c>
    </row>
    <row r="4" customFormat="false" ht="12.8" hidden="false" customHeight="false" outlineLevel="0" collapsed="false">
      <c r="A4" s="0" t="s">
        <v>15</v>
      </c>
      <c r="B4" s="0" t="n">
        <f aca="false">B1/Objetivo</f>
        <v>0.875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true">
    <pageSetUpPr fitToPage="false"/>
  </sheetPr>
  <dimension ref="A1:D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11.53515625" defaultRowHeight="12.8" zeroHeight="false" outlineLevelRow="1" outlineLevelCol="1"/>
  <cols>
    <col collapsed="false" customWidth="true" hidden="false" outlineLevel="0" max="1" min="1" style="0" width="20.43"/>
    <col collapsed="false" customWidth="true" hidden="true" outlineLevel="1" max="3" min="2" style="0" width="20.43"/>
    <col collapsed="false" customWidth="true" hidden="false" outlineLevel="0" max="4" min="4" style="0" width="20.43"/>
  </cols>
  <sheetData>
    <row r="1" customFormat="false" ht="12.8" hidden="false" customHeight="false" outlineLevel="0" collapsed="false">
      <c r="A1" s="2" t="s">
        <v>16</v>
      </c>
      <c r="B1" s="2" t="s">
        <v>17</v>
      </c>
      <c r="C1" s="2" t="s">
        <v>18</v>
      </c>
      <c r="D1" s="2" t="s">
        <v>19</v>
      </c>
    </row>
    <row r="2" customFormat="false" ht="12.8" hidden="false" customHeight="false" outlineLevel="0" collapsed="false">
      <c r="A2" s="0" t="s">
        <v>20</v>
      </c>
      <c r="B2" s="0" t="n">
        <v>10</v>
      </c>
      <c r="C2" s="0" t="n">
        <v>20</v>
      </c>
      <c r="D2" s="0" t="n">
        <f aca="false">B2+C2</f>
        <v>30</v>
      </c>
    </row>
    <row r="3" customFormat="false" ht="12.8" hidden="true" customHeight="false" outlineLevel="1" collapsed="false">
      <c r="A3" s="0" t="s">
        <v>8</v>
      </c>
      <c r="B3" s="0" t="n">
        <v>6</v>
      </c>
      <c r="C3" s="0" t="n">
        <v>12</v>
      </c>
      <c r="D3" s="0" t="n">
        <f aca="false">B3+C3</f>
        <v>18</v>
      </c>
    </row>
    <row r="4" customFormat="false" ht="12.8" hidden="true" customHeight="false" outlineLevel="1" collapsed="false">
      <c r="A4" s="0" t="s">
        <v>9</v>
      </c>
      <c r="B4" s="0" t="n">
        <v>4</v>
      </c>
      <c r="C4" s="0" t="n">
        <v>8</v>
      </c>
      <c r="D4" s="0" t="n">
        <f aca="false">B4+C4</f>
        <v>12</v>
      </c>
    </row>
    <row r="5" customFormat="false" ht="12.8" hidden="false" customHeight="false" outlineLevel="0" collapsed="false">
      <c r="A5" s="0" t="s">
        <v>21</v>
      </c>
      <c r="B5" s="0" t="n">
        <v>10</v>
      </c>
      <c r="C5" s="0" t="n">
        <v>20</v>
      </c>
      <c r="D5" s="0" t="n">
        <f aca="false">B5+C5</f>
        <v>30</v>
      </c>
    </row>
  </sheetData>
  <scenarios current="0" show="0">
    <scenario name="Alto" locked="false" count="1" user="Calc" comment="Ana">
      <inputCells r="B2" val="10"/>
    </scenario>
  </scenarios>
  <autoFilter ref="A1:D5">
    <filterColumn colId="1">
      <customFilters and="true">
        <customFilter operator="greaterThan" val="5"/>
      </customFilters>
    </filterColumn>
  </autoFilter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LibreOffice/7.4.7.2$Linux_AARCH64 LibreOffice_project/40$Build-2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